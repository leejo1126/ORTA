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jo\OneDrive - Stanford\Desktop\"/>
    </mc:Choice>
  </mc:AlternateContent>
  <xr:revisionPtr revIDLastSave="0" documentId="13_ncr:1_{08C674BA-6ACE-4569-96CD-9C7575A81332}" xr6:coauthVersionLast="47" xr6:coauthVersionMax="47" xr10:uidLastSave="{00000000-0000-0000-0000-000000000000}"/>
  <bookViews>
    <workbookView xWindow="-110" yWindow="-110" windowWidth="19420" windowHeight="11500" xr2:uid="{2F8AE49D-E87B-4666-927F-29B10B7644F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F64" i="1"/>
  <c r="F10" i="1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</calcChain>
</file>

<file path=xl/sharedStrings.xml><?xml version="1.0" encoding="utf-8"?>
<sst xmlns="http://schemas.openxmlformats.org/spreadsheetml/2006/main" count="420" uniqueCount="167">
  <si>
    <t>chromosome</t>
  </si>
  <si>
    <t>start</t>
  </si>
  <si>
    <t>end</t>
  </si>
  <si>
    <t>strand</t>
  </si>
  <si>
    <t>name</t>
  </si>
  <si>
    <t>E_Sox2</t>
  </si>
  <si>
    <t>chr3</t>
  </si>
  <si>
    <t>-</t>
  </si>
  <si>
    <t>chr2</t>
  </si>
  <si>
    <t>E1_Etl4</t>
  </si>
  <si>
    <t>P_Sox2</t>
  </si>
  <si>
    <t>notes</t>
  </si>
  <si>
    <t>+</t>
  </si>
  <si>
    <t>short gene ~2kb</t>
  </si>
  <si>
    <t>18% activity but little transcription/intronic</t>
  </si>
  <si>
    <t>dispensible but more transcription/intronic</t>
  </si>
  <si>
    <t>E2_Etl4</t>
  </si>
  <si>
    <t>P_Etl4</t>
  </si>
  <si>
    <t>there are longer isoforms but probably not very notable</t>
  </si>
  <si>
    <t>E_Cbfa2t2</t>
  </si>
  <si>
    <t>P_Cbfa2t2</t>
  </si>
  <si>
    <t>41% activity/both strands</t>
  </si>
  <si>
    <t>40%/both strands/very close to promoter</t>
  </si>
  <si>
    <t>P_Mcl1</t>
  </si>
  <si>
    <t>short gene ~4kb</t>
  </si>
  <si>
    <t>chr4</t>
  </si>
  <si>
    <t>E_Macf1</t>
  </si>
  <si>
    <t>18% activity/intronic</t>
  </si>
  <si>
    <t>P_Macf1</t>
  </si>
  <si>
    <t>big gene ~350kb/not very clear if which isoform is expressed</t>
  </si>
  <si>
    <t>E_Med13l</t>
  </si>
  <si>
    <t>chr5</t>
  </si>
  <si>
    <t>41%/large enhancer 16kb</t>
  </si>
  <si>
    <t>P_Med13l</t>
  </si>
  <si>
    <t>chr7</t>
  </si>
  <si>
    <t>69%/15kb enhancer</t>
  </si>
  <si>
    <t>E_mir290</t>
  </si>
  <si>
    <t>P_mir290</t>
  </si>
  <si>
    <t>mir290-295cluster of miRNA important for mesc</t>
  </si>
  <si>
    <t>chr8</t>
  </si>
  <si>
    <t>E_Sall1</t>
  </si>
  <si>
    <t>90%ish/large enhancer with two clusters</t>
  </si>
  <si>
    <t>P_Sall1</t>
  </si>
  <si>
    <t>chr9</t>
  </si>
  <si>
    <t>chr10</t>
  </si>
  <si>
    <t>E_Tet1</t>
  </si>
  <si>
    <t>80%/might be in intron of an isoform</t>
  </si>
  <si>
    <t>P_Tet1</t>
  </si>
  <si>
    <t>chr11</t>
  </si>
  <si>
    <t>E_Ranbp17</t>
  </si>
  <si>
    <t>P_Ranbp17</t>
  </si>
  <si>
    <t>chr12</t>
  </si>
  <si>
    <t>E_Esrrb</t>
  </si>
  <si>
    <t>P_Esrrb</t>
  </si>
  <si>
    <t>35%/intronic</t>
  </si>
  <si>
    <t>the annotated promoter may be inactive in esc with k27me so I chose this one based on groseq data</t>
  </si>
  <si>
    <t>chr17</t>
  </si>
  <si>
    <t>E_Mtcl1</t>
  </si>
  <si>
    <t>talks to Mtcl1 Ankrd12 and Ddx11</t>
  </si>
  <si>
    <t>P_Mtcl1</t>
  </si>
  <si>
    <t>35kb away</t>
  </si>
  <si>
    <t>P_Ddx11</t>
  </si>
  <si>
    <t>P_Ankrd12</t>
  </si>
  <si>
    <t>357kb away</t>
  </si>
  <si>
    <t>411kb away</t>
  </si>
  <si>
    <t>chr19</t>
  </si>
  <si>
    <t>reference</t>
  </si>
  <si>
    <t>Moorthy 2017</t>
  </si>
  <si>
    <t>Novo 2018</t>
  </si>
  <si>
    <t>E_Myb</t>
  </si>
  <si>
    <t>60kb away</t>
  </si>
  <si>
    <t>P_Myb</t>
  </si>
  <si>
    <t>intron of ankrd35</t>
  </si>
  <si>
    <t>E_Pias3</t>
  </si>
  <si>
    <t>P_Pias3</t>
  </si>
  <si>
    <t>15kb away</t>
  </si>
  <si>
    <t>chr1</t>
  </si>
  <si>
    <t>P_Fn1</t>
  </si>
  <si>
    <t>E_Fn1</t>
  </si>
  <si>
    <t>562kb away/the gene body seems to have its own domain</t>
  </si>
  <si>
    <t>E_Tcfcp2l1</t>
  </si>
  <si>
    <t>P_Tcfcp2l1</t>
  </si>
  <si>
    <t>452kb away</t>
  </si>
  <si>
    <t>E_Smg7</t>
  </si>
  <si>
    <t>P_Smg7</t>
  </si>
  <si>
    <t>197kb away</t>
  </si>
  <si>
    <t>in intron of another gene talks to smg7 and lamc1</t>
  </si>
  <si>
    <t>P_Lamc1</t>
  </si>
  <si>
    <t>size</t>
  </si>
  <si>
    <t>E_Enah</t>
  </si>
  <si>
    <t>P_Enah</t>
  </si>
  <si>
    <t>E_Srxn1</t>
  </si>
  <si>
    <t>P_Srxn1</t>
  </si>
  <si>
    <t>E_Mybl2</t>
  </si>
  <si>
    <t>P_Mybl2</t>
  </si>
  <si>
    <t>E1_Mcl1</t>
  </si>
  <si>
    <t>E2_Mcl1</t>
  </si>
  <si>
    <t>E_Epha2</t>
  </si>
  <si>
    <t>P_Epha2</t>
  </si>
  <si>
    <t>E1_Ski</t>
  </si>
  <si>
    <t>E2_Ski</t>
  </si>
  <si>
    <t>has better transcription</t>
  </si>
  <si>
    <t>has weak transcription but a ctcf site</t>
  </si>
  <si>
    <t>P_Ski</t>
  </si>
  <si>
    <t>E_Klf3</t>
  </si>
  <si>
    <t>P_Klf3</t>
  </si>
  <si>
    <t>pchic has other partner but klf3 is proximal and has good expression</t>
  </si>
  <si>
    <t>E_Srrm4os</t>
  </si>
  <si>
    <t>P_Srrm4os</t>
  </si>
  <si>
    <t>chr6</t>
  </si>
  <si>
    <t>E_Zfp638</t>
  </si>
  <si>
    <t>P_Zfp638</t>
  </si>
  <si>
    <t>E_Nanog</t>
  </si>
  <si>
    <t>P_Nanog</t>
  </si>
  <si>
    <t>Agrawal 2021</t>
  </si>
  <si>
    <t>P_Cd9</t>
  </si>
  <si>
    <t>E_Abhd17c</t>
  </si>
  <si>
    <t>P_Abhd17c</t>
  </si>
  <si>
    <t>sitting on a small gene Tlnrd1 talks to abhd17c and cemip and Arnt2</t>
  </si>
  <si>
    <t>E_Trim71</t>
  </si>
  <si>
    <t>P_Trim71</t>
  </si>
  <si>
    <t>E_Sox15</t>
  </si>
  <si>
    <t>P_Senp3</t>
  </si>
  <si>
    <t>tiny</t>
  </si>
  <si>
    <t>E_Mycn</t>
  </si>
  <si>
    <t>P_Mycn</t>
  </si>
  <si>
    <t>chr13</t>
  </si>
  <si>
    <t>E_Lncenc1</t>
  </si>
  <si>
    <t>P_Lncenc1</t>
  </si>
  <si>
    <t>no obvious transcription but temping looking</t>
  </si>
  <si>
    <t>chr16</t>
  </si>
  <si>
    <t>E_Hes1</t>
  </si>
  <si>
    <t>P_Hes1</t>
  </si>
  <si>
    <t>E_Rrp1b</t>
  </si>
  <si>
    <t>P_Rrp1b</t>
  </si>
  <si>
    <t>P_Pou5f1</t>
  </si>
  <si>
    <t>Yeom 1996</t>
  </si>
  <si>
    <t>E_Gabbr1</t>
  </si>
  <si>
    <t>talks to gabbr1 and zfp57</t>
  </si>
  <si>
    <t>P_Gabbr1</t>
  </si>
  <si>
    <t>P_Zfp57</t>
  </si>
  <si>
    <t>P_Ccnd3</t>
  </si>
  <si>
    <t>E_Ccnd3</t>
  </si>
  <si>
    <t>within putative ccnd3 intron but may just be the enhancer also talks to Bysl</t>
  </si>
  <si>
    <t>P_Bysl</t>
  </si>
  <si>
    <t>chr18</t>
  </si>
  <si>
    <t>E_Csnk1a1</t>
  </si>
  <si>
    <t>P_Csnk1a1</t>
  </si>
  <si>
    <t>E_Neat1</t>
  </si>
  <si>
    <t>right next to malat1 another lncrna</t>
  </si>
  <si>
    <t>P_Neat1</t>
  </si>
  <si>
    <t>lncrna</t>
  </si>
  <si>
    <t>P_Klf9</t>
  </si>
  <si>
    <t>E1_Klf9</t>
  </si>
  <si>
    <t>E2_Klf9</t>
  </si>
  <si>
    <t>E1_Pou5f1</t>
  </si>
  <si>
    <t>E2_Pou5f1</t>
  </si>
  <si>
    <t>Alternative start for DNA probe</t>
  </si>
  <si>
    <t>Altnerative end for DNA probes</t>
  </si>
  <si>
    <t>spills onto the next gene Tcf19 but would be antisense to it</t>
  </si>
  <si>
    <t>notes: 1. this is for mm10 coordinates 2. for 8kb&gt;genes alternative dna probes are given and noted where they overlap with some other features</t>
  </si>
  <si>
    <t>spills onto the next gene bysl but would be antisense to it bysl probes should not overlap</t>
  </si>
  <si>
    <t>talks to sox15 Fxr2 Senp3 and a few others, renamed from E_sox15 to E_Senp3 since sox15 and fxr2 didn't get fished</t>
  </si>
  <si>
    <t>E1_Cd9</t>
  </si>
  <si>
    <t>E2_Cd9</t>
  </si>
  <si>
    <t>E3_Cd9</t>
  </si>
  <si>
    <t>cluster of 3 enhancers, should go for sub-sectioning with another set of barcodes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</si>
</sst>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1CBF-BEDD-4D62-B60F-715510845C36}">
  <dimension ref="A1:K93"/>
  <sheetViews>
    <sheetView tabSelected="1" workbookViewId="0">
      <selection activeCell="H93" sqref="H93"/>
    </sheetView>
  </sheetViews>
  <sheetFormatPr defaultRowHeight="14.5"/>
  <cols>
    <col min="1" max="1" width="15.81640625" customWidth="1"/>
    <col min="2" max="2" width="14.6328125" style="1" customWidth="1"/>
    <col min="3" max="3" width="13.90625" style="1" customWidth="1"/>
    <col min="6" max="6" width="14.6328125" customWidth="1"/>
    <col min="7" max="7" width="15.453125" customWidth="1"/>
    <col min="8" max="8" width="24.453125" customWidth="1"/>
    <col min="9" max="9" width="14.81640625" customWidth="1"/>
    <col min="10" max="10" width="10.90625" bestFit="1" customWidth="1"/>
  </cols>
  <sheetData>
    <row r="1" spans="1:1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88</v>
      </c>
      <c r="G1" t="s">
        <v>66</v>
      </c>
      <c r="H1" t="s">
        <v>11</v>
      </c>
      <c r="I1" t="s">
        <v>157</v>
      </c>
      <c r="J1" t="s">
        <v>158</v>
      </c>
      <c r="K1" t="s">
        <v>160</v>
      </c>
    </row>
    <row r="2" spans="1:11">
      <c r="A2" t="s">
        <v>6</v>
      </c>
      <c r="B2" s="1">
        <v>34754000</v>
      </c>
      <c r="C2" s="1">
        <v>34764000</v>
      </c>
      <c r="D2" t="s">
        <v>7</v>
      </c>
      <c r="E2" t="s">
        <v>5</v>
      </c>
      <c r="F2" s="1">
        <f t="shared" ref="F2:F33" si="0">C2-B2</f>
        <v>10000</v>
      </c>
      <c r="G2" t="s">
        <v>67</v>
      </c>
    </row>
    <row r="3" spans="1:11">
      <c r="A3" t="s">
        <v>6</v>
      </c>
      <c r="B3" s="1">
        <v>34650405</v>
      </c>
      <c r="C3" s="1">
        <v>34660405</v>
      </c>
      <c r="D3" t="s">
        <v>12</v>
      </c>
      <c r="E3" t="s">
        <v>10</v>
      </c>
      <c r="F3" s="1">
        <f t="shared" si="0"/>
        <v>10000</v>
      </c>
      <c r="G3" t="s">
        <v>67</v>
      </c>
      <c r="H3" t="s">
        <v>13</v>
      </c>
      <c r="I3" s="1"/>
      <c r="J3" s="1"/>
    </row>
    <row r="4" spans="1:11">
      <c r="A4" t="s">
        <v>8</v>
      </c>
      <c r="B4" s="1">
        <v>20648000</v>
      </c>
      <c r="C4" s="1">
        <v>20658000</v>
      </c>
      <c r="D4" t="s">
        <v>7</v>
      </c>
      <c r="E4" t="s">
        <v>9</v>
      </c>
      <c r="F4" s="1">
        <f t="shared" si="0"/>
        <v>10000</v>
      </c>
      <c r="G4" t="s">
        <v>67</v>
      </c>
      <c r="H4" t="s">
        <v>14</v>
      </c>
    </row>
    <row r="5" spans="1:11">
      <c r="A5" t="s">
        <v>8</v>
      </c>
      <c r="B5" s="1">
        <v>20666000</v>
      </c>
      <c r="C5" s="1">
        <v>20676000</v>
      </c>
      <c r="D5" t="s">
        <v>7</v>
      </c>
      <c r="E5" t="s">
        <v>16</v>
      </c>
      <c r="F5" s="1">
        <f t="shared" si="0"/>
        <v>10000</v>
      </c>
      <c r="G5" t="s">
        <v>67</v>
      </c>
      <c r="H5" t="s">
        <v>15</v>
      </c>
    </row>
    <row r="6" spans="1:11">
      <c r="A6" t="s">
        <v>8</v>
      </c>
      <c r="B6" s="1">
        <v>20519000</v>
      </c>
      <c r="C6" s="1">
        <v>20529000</v>
      </c>
      <c r="D6" t="s">
        <v>12</v>
      </c>
      <c r="E6" t="s">
        <v>17</v>
      </c>
      <c r="F6" s="1">
        <f t="shared" si="0"/>
        <v>10000</v>
      </c>
      <c r="G6" t="s">
        <v>67</v>
      </c>
      <c r="H6" t="s">
        <v>18</v>
      </c>
    </row>
    <row r="7" spans="1:11">
      <c r="A7" t="s">
        <v>8</v>
      </c>
      <c r="B7" s="1">
        <v>154419000</v>
      </c>
      <c r="C7" s="1">
        <v>154429000</v>
      </c>
      <c r="D7" t="s">
        <v>7</v>
      </c>
      <c r="E7" t="s">
        <v>19</v>
      </c>
      <c r="F7" s="1">
        <f t="shared" si="0"/>
        <v>10000</v>
      </c>
      <c r="G7" t="s">
        <v>67</v>
      </c>
      <c r="H7" t="s">
        <v>21</v>
      </c>
    </row>
    <row r="8" spans="1:11">
      <c r="A8" t="s">
        <v>8</v>
      </c>
      <c r="B8" s="1">
        <v>154436000</v>
      </c>
      <c r="C8" s="1">
        <v>154446000</v>
      </c>
      <c r="D8" t="s">
        <v>12</v>
      </c>
      <c r="E8" t="s">
        <v>20</v>
      </c>
      <c r="F8" s="1">
        <f t="shared" si="0"/>
        <v>10000</v>
      </c>
      <c r="G8" t="s">
        <v>67</v>
      </c>
    </row>
    <row r="9" spans="1:11">
      <c r="A9" t="s">
        <v>6</v>
      </c>
      <c r="B9" s="1">
        <v>95645000</v>
      </c>
      <c r="C9" s="1">
        <v>95655000</v>
      </c>
      <c r="D9" t="s">
        <v>12</v>
      </c>
      <c r="E9" t="s">
        <v>95</v>
      </c>
      <c r="F9" s="1">
        <f t="shared" si="0"/>
        <v>10000</v>
      </c>
      <c r="G9" t="s">
        <v>67</v>
      </c>
      <c r="H9" t="s">
        <v>22</v>
      </c>
    </row>
    <row r="10" spans="1:11">
      <c r="A10" t="s">
        <v>6</v>
      </c>
      <c r="B10" s="1">
        <v>95697000</v>
      </c>
      <c r="C10" s="1">
        <v>95707000</v>
      </c>
      <c r="D10" t="s">
        <v>7</v>
      </c>
      <c r="E10" t="s">
        <v>96</v>
      </c>
      <c r="F10" s="1">
        <f t="shared" si="0"/>
        <v>10000</v>
      </c>
      <c r="G10" t="s">
        <v>68</v>
      </c>
    </row>
    <row r="11" spans="1:11">
      <c r="A11" t="s">
        <v>6</v>
      </c>
      <c r="B11" s="1">
        <v>95658788</v>
      </c>
      <c r="C11" s="1">
        <v>95668788</v>
      </c>
      <c r="D11" t="s">
        <v>12</v>
      </c>
      <c r="E11" t="s">
        <v>23</v>
      </c>
      <c r="F11" s="1">
        <f t="shared" si="0"/>
        <v>10000</v>
      </c>
      <c r="G11" t="s">
        <v>67</v>
      </c>
      <c r="H11" t="s">
        <v>24</v>
      </c>
      <c r="I11" s="1"/>
      <c r="J11" s="1"/>
    </row>
    <row r="12" spans="1:11">
      <c r="A12" t="s">
        <v>25</v>
      </c>
      <c r="B12" s="1">
        <v>123662000</v>
      </c>
      <c r="C12" s="1">
        <v>123672000</v>
      </c>
      <c r="D12" t="s">
        <v>12</v>
      </c>
      <c r="E12" t="s">
        <v>26</v>
      </c>
      <c r="F12" s="1">
        <f t="shared" si="0"/>
        <v>10000</v>
      </c>
      <c r="G12" t="s">
        <v>67</v>
      </c>
      <c r="H12" t="s">
        <v>27</v>
      </c>
    </row>
    <row r="13" spans="1:11">
      <c r="A13" t="s">
        <v>25</v>
      </c>
      <c r="B13" s="1">
        <v>123674000</v>
      </c>
      <c r="C13" s="1">
        <v>123684000</v>
      </c>
      <c r="D13" t="s">
        <v>7</v>
      </c>
      <c r="E13" t="s">
        <v>28</v>
      </c>
      <c r="F13" s="1">
        <f t="shared" si="0"/>
        <v>10000</v>
      </c>
      <c r="G13" t="s">
        <v>67</v>
      </c>
      <c r="H13" t="s">
        <v>29</v>
      </c>
    </row>
    <row r="14" spans="1:11">
      <c r="A14" t="s">
        <v>31</v>
      </c>
      <c r="B14" s="1">
        <v>118434000</v>
      </c>
      <c r="C14" s="1">
        <v>118450000</v>
      </c>
      <c r="D14" t="s">
        <v>12</v>
      </c>
      <c r="E14" t="s">
        <v>30</v>
      </c>
      <c r="F14" s="1">
        <f t="shared" si="0"/>
        <v>16000</v>
      </c>
      <c r="G14" t="s">
        <v>67</v>
      </c>
      <c r="H14" t="s">
        <v>32</v>
      </c>
    </row>
    <row r="15" spans="1:11">
      <c r="A15" t="s">
        <v>31</v>
      </c>
      <c r="B15" s="1">
        <v>118561000</v>
      </c>
      <c r="C15" s="1">
        <v>118571000</v>
      </c>
      <c r="D15" t="s">
        <v>12</v>
      </c>
      <c r="E15" t="s">
        <v>33</v>
      </c>
      <c r="F15" s="1">
        <f t="shared" si="0"/>
        <v>10000</v>
      </c>
      <c r="G15" t="s">
        <v>67</v>
      </c>
    </row>
    <row r="16" spans="1:11">
      <c r="A16" t="s">
        <v>34</v>
      </c>
      <c r="B16" s="1">
        <v>3200000</v>
      </c>
      <c r="C16" s="1">
        <v>3215000</v>
      </c>
      <c r="D16" t="s">
        <v>7</v>
      </c>
      <c r="E16" t="s">
        <v>36</v>
      </c>
      <c r="F16" s="1">
        <f t="shared" si="0"/>
        <v>15000</v>
      </c>
      <c r="G16" t="s">
        <v>67</v>
      </c>
      <c r="H16" t="s">
        <v>35</v>
      </c>
    </row>
    <row r="17" spans="1:11">
      <c r="A17" t="s">
        <v>34</v>
      </c>
      <c r="B17" s="1">
        <v>3217000</v>
      </c>
      <c r="C17" s="1">
        <v>3225000</v>
      </c>
      <c r="D17" t="s">
        <v>12</v>
      </c>
      <c r="E17" t="s">
        <v>37</v>
      </c>
      <c r="F17" s="1">
        <f t="shared" si="0"/>
        <v>8000</v>
      </c>
      <c r="G17" t="s">
        <v>67</v>
      </c>
      <c r="H17" t="s">
        <v>38</v>
      </c>
    </row>
    <row r="18" spans="1:11">
      <c r="A18" t="s">
        <v>39</v>
      </c>
      <c r="B18" s="1">
        <v>89002000</v>
      </c>
      <c r="C18" s="1">
        <v>89016000</v>
      </c>
      <c r="D18" t="s">
        <v>7</v>
      </c>
      <c r="E18" t="s">
        <v>40</v>
      </c>
      <c r="F18" s="1">
        <f t="shared" si="0"/>
        <v>14000</v>
      </c>
      <c r="G18" t="s">
        <v>67</v>
      </c>
      <c r="H18" t="s">
        <v>41</v>
      </c>
    </row>
    <row r="19" spans="1:11">
      <c r="A19" t="s">
        <v>39</v>
      </c>
      <c r="B19" s="1">
        <v>89044000</v>
      </c>
      <c r="C19" s="1">
        <v>89054000</v>
      </c>
      <c r="D19" t="s">
        <v>7</v>
      </c>
      <c r="E19" t="s">
        <v>42</v>
      </c>
      <c r="F19" s="1">
        <f t="shared" si="0"/>
        <v>10000</v>
      </c>
      <c r="G19" t="s">
        <v>67</v>
      </c>
    </row>
    <row r="20" spans="1:11">
      <c r="A20" t="s">
        <v>44</v>
      </c>
      <c r="B20" s="1">
        <v>62890000</v>
      </c>
      <c r="C20" s="1">
        <v>62900000</v>
      </c>
      <c r="D20" t="s">
        <v>12</v>
      </c>
      <c r="E20" t="s">
        <v>45</v>
      </c>
      <c r="F20" s="1">
        <f t="shared" si="0"/>
        <v>10000</v>
      </c>
      <c r="G20" t="s">
        <v>67</v>
      </c>
      <c r="H20" t="s">
        <v>46</v>
      </c>
    </row>
    <row r="21" spans="1:11">
      <c r="A21" t="s">
        <v>44</v>
      </c>
      <c r="B21" s="1">
        <v>62870000</v>
      </c>
      <c r="C21" s="1">
        <v>62880000</v>
      </c>
      <c r="D21" t="s">
        <v>7</v>
      </c>
      <c r="E21" t="s">
        <v>47</v>
      </c>
      <c r="F21" s="1">
        <f t="shared" si="0"/>
        <v>10000</v>
      </c>
      <c r="G21" t="s">
        <v>67</v>
      </c>
    </row>
    <row r="22" spans="1:11">
      <c r="A22" t="s">
        <v>48</v>
      </c>
      <c r="B22" s="1">
        <v>33533000</v>
      </c>
      <c r="C22" s="1">
        <v>33546000</v>
      </c>
      <c r="D22" t="s">
        <v>12</v>
      </c>
      <c r="E22" t="s">
        <v>49</v>
      </c>
      <c r="F22" s="1">
        <f t="shared" si="0"/>
        <v>13000</v>
      </c>
      <c r="G22" t="s">
        <v>67</v>
      </c>
      <c r="H22" s="2">
        <v>0.48</v>
      </c>
    </row>
    <row r="23" spans="1:11">
      <c r="A23" t="s">
        <v>48</v>
      </c>
      <c r="B23" s="1">
        <v>33504000</v>
      </c>
      <c r="C23" s="1">
        <v>33514000</v>
      </c>
      <c r="D23" t="s">
        <v>7</v>
      </c>
      <c r="E23" t="s">
        <v>50</v>
      </c>
      <c r="F23" s="1">
        <f t="shared" si="0"/>
        <v>10000</v>
      </c>
      <c r="G23" t="s">
        <v>67</v>
      </c>
    </row>
    <row r="24" spans="1:11">
      <c r="A24" t="s">
        <v>51</v>
      </c>
      <c r="B24" s="1">
        <v>86497000</v>
      </c>
      <c r="C24" s="1">
        <v>86507000</v>
      </c>
      <c r="D24" t="s">
        <v>7</v>
      </c>
      <c r="E24" t="s">
        <v>52</v>
      </c>
      <c r="F24" s="1">
        <f t="shared" si="0"/>
        <v>10000</v>
      </c>
      <c r="G24" t="s">
        <v>67</v>
      </c>
      <c r="H24" t="s">
        <v>54</v>
      </c>
    </row>
    <row r="25" spans="1:11">
      <c r="A25" t="s">
        <v>51</v>
      </c>
      <c r="B25" s="1">
        <v>86470000</v>
      </c>
      <c r="C25" s="1">
        <v>86480000</v>
      </c>
      <c r="D25" t="s">
        <v>12</v>
      </c>
      <c r="E25" t="s">
        <v>53</v>
      </c>
      <c r="F25" s="1">
        <f t="shared" si="0"/>
        <v>10000</v>
      </c>
      <c r="G25" t="s">
        <v>67</v>
      </c>
      <c r="H25" t="s">
        <v>55</v>
      </c>
    </row>
    <row r="26" spans="1:11">
      <c r="A26" t="s">
        <v>109</v>
      </c>
      <c r="B26" s="1">
        <v>122697000</v>
      </c>
      <c r="C26" s="1">
        <v>122707000</v>
      </c>
      <c r="D26" t="s">
        <v>12</v>
      </c>
      <c r="E26" t="s">
        <v>112</v>
      </c>
      <c r="F26" s="1">
        <f t="shared" si="0"/>
        <v>10000</v>
      </c>
      <c r="G26" t="s">
        <v>114</v>
      </c>
    </row>
    <row r="27" spans="1:11">
      <c r="A27" t="s">
        <v>109</v>
      </c>
      <c r="B27" s="1">
        <v>122707489</v>
      </c>
      <c r="C27" s="1">
        <v>122717489</v>
      </c>
      <c r="D27" t="s">
        <v>12</v>
      </c>
      <c r="E27" t="s">
        <v>113</v>
      </c>
      <c r="F27" s="1">
        <f t="shared" si="0"/>
        <v>10000</v>
      </c>
      <c r="G27" t="s">
        <v>114</v>
      </c>
    </row>
    <row r="28" spans="1:11">
      <c r="A28" t="s">
        <v>56</v>
      </c>
      <c r="B28" s="1">
        <v>35495000</v>
      </c>
      <c r="C28" s="1">
        <v>35505000</v>
      </c>
      <c r="D28" t="s">
        <v>12</v>
      </c>
      <c r="E28" t="s">
        <v>155</v>
      </c>
      <c r="F28" s="1">
        <f t="shared" si="0"/>
        <v>10000</v>
      </c>
      <c r="G28" t="s">
        <v>136</v>
      </c>
    </row>
    <row r="29" spans="1:11">
      <c r="A29" t="s">
        <v>56</v>
      </c>
      <c r="B29" s="1">
        <v>35484000</v>
      </c>
      <c r="C29" s="1">
        <v>35494000</v>
      </c>
      <c r="D29" t="s">
        <v>7</v>
      </c>
      <c r="E29" t="s">
        <v>156</v>
      </c>
      <c r="F29" s="1">
        <f t="shared" si="0"/>
        <v>10000</v>
      </c>
      <c r="G29" t="s">
        <v>136</v>
      </c>
    </row>
    <row r="30" spans="1:11">
      <c r="A30" t="s">
        <v>56</v>
      </c>
      <c r="B30" s="1">
        <v>35506018</v>
      </c>
      <c r="C30" s="1">
        <v>35510772</v>
      </c>
      <c r="D30" t="s">
        <v>12</v>
      </c>
      <c r="E30" t="s">
        <v>135</v>
      </c>
      <c r="F30" s="1">
        <f t="shared" si="0"/>
        <v>4754</v>
      </c>
      <c r="G30" t="s">
        <v>136</v>
      </c>
      <c r="I30" s="1"/>
      <c r="J30" s="1"/>
      <c r="K30" t="s">
        <v>159</v>
      </c>
    </row>
    <row r="31" spans="1:11">
      <c r="A31" t="s">
        <v>56</v>
      </c>
      <c r="B31" s="1">
        <v>66477500</v>
      </c>
      <c r="C31" s="1">
        <v>66487500</v>
      </c>
      <c r="D31" t="s">
        <v>7</v>
      </c>
      <c r="E31" t="s">
        <v>57</v>
      </c>
      <c r="F31" s="1">
        <f t="shared" si="0"/>
        <v>10000</v>
      </c>
      <c r="G31" t="s">
        <v>68</v>
      </c>
      <c r="H31" t="s">
        <v>58</v>
      </c>
    </row>
    <row r="32" spans="1:11">
      <c r="A32" t="s">
        <v>56</v>
      </c>
      <c r="B32" s="1">
        <v>66440000</v>
      </c>
      <c r="C32" s="1">
        <v>66450000</v>
      </c>
      <c r="D32" t="s">
        <v>7</v>
      </c>
      <c r="E32" t="s">
        <v>59</v>
      </c>
      <c r="F32" s="1">
        <f t="shared" si="0"/>
        <v>10000</v>
      </c>
      <c r="G32" t="s">
        <v>68</v>
      </c>
      <c r="H32" t="s">
        <v>60</v>
      </c>
    </row>
    <row r="33" spans="1:8">
      <c r="A33" t="s">
        <v>56</v>
      </c>
      <c r="B33" s="1">
        <v>66123500</v>
      </c>
      <c r="C33" s="1">
        <v>66133500</v>
      </c>
      <c r="D33" t="s">
        <v>12</v>
      </c>
      <c r="E33" t="s">
        <v>61</v>
      </c>
      <c r="F33" s="1">
        <f t="shared" si="0"/>
        <v>10000</v>
      </c>
      <c r="G33" t="s">
        <v>68</v>
      </c>
      <c r="H33" t="s">
        <v>63</v>
      </c>
    </row>
    <row r="34" spans="1:8">
      <c r="A34" t="s">
        <v>56</v>
      </c>
      <c r="B34" s="1">
        <v>66067000</v>
      </c>
      <c r="C34" s="1">
        <v>66077000</v>
      </c>
      <c r="D34" t="s">
        <v>7</v>
      </c>
      <c r="E34" t="s">
        <v>62</v>
      </c>
      <c r="F34" s="1">
        <f t="shared" ref="F34:F67" si="1">C34-B34</f>
        <v>10000</v>
      </c>
      <c r="G34" t="s">
        <v>68</v>
      </c>
      <c r="H34" t="s">
        <v>64</v>
      </c>
    </row>
    <row r="35" spans="1:8">
      <c r="A35" t="s">
        <v>44</v>
      </c>
      <c r="B35" s="1">
        <v>21097000</v>
      </c>
      <c r="C35" s="1">
        <v>21107000</v>
      </c>
      <c r="D35" t="s">
        <v>12</v>
      </c>
      <c r="E35" t="s">
        <v>69</v>
      </c>
      <c r="F35" s="1">
        <f t="shared" si="1"/>
        <v>10000</v>
      </c>
      <c r="G35" t="s">
        <v>68</v>
      </c>
      <c r="H35" t="s">
        <v>70</v>
      </c>
    </row>
    <row r="36" spans="1:8">
      <c r="A36" t="s">
        <v>44</v>
      </c>
      <c r="B36" s="1">
        <v>21151000</v>
      </c>
      <c r="C36" s="1">
        <v>21161000</v>
      </c>
      <c r="D36" t="s">
        <v>7</v>
      </c>
      <c r="E36" t="s">
        <v>71</v>
      </c>
      <c r="F36" s="1">
        <f t="shared" si="1"/>
        <v>10000</v>
      </c>
      <c r="G36" t="s">
        <v>68</v>
      </c>
    </row>
    <row r="37" spans="1:8">
      <c r="A37" t="s">
        <v>6</v>
      </c>
      <c r="B37" s="1">
        <v>96673000</v>
      </c>
      <c r="C37" s="1">
        <v>96683000</v>
      </c>
      <c r="D37" t="s">
        <v>7</v>
      </c>
      <c r="E37" t="s">
        <v>73</v>
      </c>
      <c r="F37" s="1">
        <f t="shared" si="1"/>
        <v>10000</v>
      </c>
      <c r="G37" t="s">
        <v>68</v>
      </c>
      <c r="H37" t="s">
        <v>72</v>
      </c>
    </row>
    <row r="38" spans="1:8">
      <c r="A38" t="s">
        <v>6</v>
      </c>
      <c r="B38" s="1">
        <v>96696000</v>
      </c>
      <c r="C38" s="1">
        <v>96706000</v>
      </c>
      <c r="D38" t="s">
        <v>12</v>
      </c>
      <c r="E38" t="s">
        <v>74</v>
      </c>
      <c r="F38" s="1">
        <f t="shared" si="1"/>
        <v>10000</v>
      </c>
      <c r="G38" t="s">
        <v>68</v>
      </c>
      <c r="H38" t="s">
        <v>75</v>
      </c>
    </row>
    <row r="39" spans="1:8">
      <c r="A39" t="s">
        <v>76</v>
      </c>
      <c r="B39" s="1">
        <v>72212000</v>
      </c>
      <c r="C39" s="1">
        <v>72222000</v>
      </c>
      <c r="D39" t="s">
        <v>12</v>
      </c>
      <c r="E39" t="s">
        <v>78</v>
      </c>
      <c r="F39" s="1">
        <f t="shared" si="1"/>
        <v>10000</v>
      </c>
      <c r="G39" t="s">
        <v>68</v>
      </c>
    </row>
    <row r="40" spans="1:8">
      <c r="A40" t="s">
        <v>76</v>
      </c>
      <c r="B40" s="1">
        <v>71643000</v>
      </c>
      <c r="C40" s="1">
        <v>71653000</v>
      </c>
      <c r="D40" t="s">
        <v>7</v>
      </c>
      <c r="E40" t="s">
        <v>77</v>
      </c>
      <c r="F40" s="1">
        <f t="shared" si="1"/>
        <v>10000</v>
      </c>
      <c r="G40" t="s">
        <v>68</v>
      </c>
      <c r="H40" t="s">
        <v>79</v>
      </c>
    </row>
    <row r="41" spans="1:8">
      <c r="A41" t="s">
        <v>76</v>
      </c>
      <c r="B41" s="1">
        <v>119070000</v>
      </c>
      <c r="C41" s="1">
        <v>119080000</v>
      </c>
      <c r="D41" t="s">
        <v>12</v>
      </c>
      <c r="E41" t="s">
        <v>80</v>
      </c>
      <c r="F41" s="1">
        <f t="shared" si="1"/>
        <v>10000</v>
      </c>
      <c r="G41" t="s">
        <v>68</v>
      </c>
    </row>
    <row r="42" spans="1:8">
      <c r="A42" t="s">
        <v>76</v>
      </c>
      <c r="B42" s="1">
        <v>118628000</v>
      </c>
      <c r="C42" s="1">
        <v>118638000</v>
      </c>
      <c r="D42" t="s">
        <v>12</v>
      </c>
      <c r="E42" t="s">
        <v>81</v>
      </c>
      <c r="F42" s="1">
        <f t="shared" si="1"/>
        <v>10000</v>
      </c>
      <c r="G42" t="s">
        <v>68</v>
      </c>
      <c r="H42" t="s">
        <v>82</v>
      </c>
    </row>
    <row r="43" spans="1:8">
      <c r="A43" t="s">
        <v>76</v>
      </c>
      <c r="B43" s="1">
        <v>153090000</v>
      </c>
      <c r="C43" s="1">
        <v>153100000</v>
      </c>
      <c r="D43" t="s">
        <v>7</v>
      </c>
      <c r="E43" t="s">
        <v>83</v>
      </c>
      <c r="F43" s="1">
        <f t="shared" si="1"/>
        <v>10000</v>
      </c>
      <c r="G43" t="s">
        <v>68</v>
      </c>
      <c r="H43" t="s">
        <v>86</v>
      </c>
    </row>
    <row r="44" spans="1:8">
      <c r="A44" t="s">
        <v>76</v>
      </c>
      <c r="B44" s="1">
        <v>152892500</v>
      </c>
      <c r="C44" s="1">
        <v>152902500</v>
      </c>
      <c r="D44" t="s">
        <v>7</v>
      </c>
      <c r="E44" t="s">
        <v>84</v>
      </c>
      <c r="F44" s="1">
        <f t="shared" si="1"/>
        <v>10000</v>
      </c>
      <c r="G44" t="s">
        <v>68</v>
      </c>
      <c r="H44" t="s">
        <v>85</v>
      </c>
    </row>
    <row r="45" spans="1:8">
      <c r="A45" t="s">
        <v>76</v>
      </c>
      <c r="B45" s="1">
        <v>153323000</v>
      </c>
      <c r="C45" s="1">
        <v>153333000</v>
      </c>
      <c r="D45" t="s">
        <v>7</v>
      </c>
      <c r="E45" t="s">
        <v>87</v>
      </c>
      <c r="F45" s="1">
        <f t="shared" si="1"/>
        <v>10000</v>
      </c>
      <c r="G45" t="s">
        <v>68</v>
      </c>
    </row>
    <row r="46" spans="1:8">
      <c r="A46" t="s">
        <v>76</v>
      </c>
      <c r="B46" s="1">
        <v>182026000</v>
      </c>
      <c r="C46" s="1">
        <v>182036000</v>
      </c>
      <c r="D46" t="s">
        <v>12</v>
      </c>
      <c r="E46" t="s">
        <v>89</v>
      </c>
      <c r="F46" s="1">
        <f t="shared" si="1"/>
        <v>10000</v>
      </c>
      <c r="G46" t="s">
        <v>68</v>
      </c>
    </row>
    <row r="47" spans="1:8">
      <c r="A47" t="s">
        <v>76</v>
      </c>
      <c r="B47" s="1">
        <v>182010000</v>
      </c>
      <c r="C47" s="1">
        <v>182020000</v>
      </c>
      <c r="D47" t="s">
        <v>7</v>
      </c>
      <c r="E47" t="s">
        <v>90</v>
      </c>
      <c r="F47" s="1">
        <f t="shared" si="1"/>
        <v>10000</v>
      </c>
      <c r="G47" t="s">
        <v>68</v>
      </c>
    </row>
    <row r="48" spans="1:8">
      <c r="A48" t="s">
        <v>8</v>
      </c>
      <c r="B48" s="1">
        <v>152175000</v>
      </c>
      <c r="C48" s="1">
        <v>152185000</v>
      </c>
      <c r="D48" t="s">
        <v>7</v>
      </c>
      <c r="E48" t="s">
        <v>91</v>
      </c>
      <c r="F48" s="1">
        <f t="shared" si="1"/>
        <v>10000</v>
      </c>
      <c r="G48" t="s">
        <v>68</v>
      </c>
    </row>
    <row r="49" spans="1:10">
      <c r="A49" t="s">
        <v>8</v>
      </c>
      <c r="B49" s="1">
        <v>152105524</v>
      </c>
      <c r="C49" s="1">
        <v>152115524</v>
      </c>
      <c r="D49" t="s">
        <v>12</v>
      </c>
      <c r="E49" t="s">
        <v>92</v>
      </c>
      <c r="F49" s="1">
        <f t="shared" si="1"/>
        <v>10000</v>
      </c>
      <c r="G49" t="s">
        <v>68</v>
      </c>
      <c r="I49" s="1"/>
      <c r="J49" s="1"/>
    </row>
    <row r="50" spans="1:10">
      <c r="A50" t="s">
        <v>8</v>
      </c>
      <c r="B50" s="1">
        <v>163027000</v>
      </c>
      <c r="C50" s="1">
        <v>163037000</v>
      </c>
      <c r="D50" t="s">
        <v>7</v>
      </c>
      <c r="E50" t="s">
        <v>93</v>
      </c>
      <c r="F50" s="1">
        <f t="shared" si="1"/>
        <v>10000</v>
      </c>
      <c r="G50" t="s">
        <v>68</v>
      </c>
    </row>
    <row r="51" spans="1:10">
      <c r="A51" t="s">
        <v>8</v>
      </c>
      <c r="B51" s="1">
        <v>163054500</v>
      </c>
      <c r="C51" s="1">
        <v>163064500</v>
      </c>
      <c r="D51" t="s">
        <v>12</v>
      </c>
      <c r="E51" t="s">
        <v>94</v>
      </c>
      <c r="F51" s="1">
        <f t="shared" si="1"/>
        <v>10000</v>
      </c>
      <c r="G51" t="s">
        <v>68</v>
      </c>
    </row>
    <row r="52" spans="1:10">
      <c r="A52" t="s">
        <v>25</v>
      </c>
      <c r="B52" s="1">
        <v>141282000</v>
      </c>
      <c r="C52" s="1">
        <v>141292000</v>
      </c>
      <c r="D52" t="s">
        <v>12</v>
      </c>
      <c r="E52" t="s">
        <v>97</v>
      </c>
      <c r="F52" s="1">
        <f t="shared" si="1"/>
        <v>10000</v>
      </c>
      <c r="G52" t="s">
        <v>68</v>
      </c>
    </row>
    <row r="53" spans="1:10">
      <c r="A53" t="s">
        <v>25</v>
      </c>
      <c r="B53" s="1">
        <v>141301000</v>
      </c>
      <c r="C53" s="1">
        <v>141311000</v>
      </c>
      <c r="D53" t="s">
        <v>12</v>
      </c>
      <c r="E53" t="s">
        <v>98</v>
      </c>
      <c r="F53" s="1">
        <f t="shared" si="1"/>
        <v>10000</v>
      </c>
      <c r="G53" t="s">
        <v>68</v>
      </c>
    </row>
    <row r="54" spans="1:10">
      <c r="A54" t="s">
        <v>25</v>
      </c>
      <c r="B54" s="1">
        <v>151172000</v>
      </c>
      <c r="C54" s="1">
        <v>151182000</v>
      </c>
      <c r="D54" t="s">
        <v>12</v>
      </c>
      <c r="E54" t="s">
        <v>99</v>
      </c>
      <c r="F54" s="1">
        <f t="shared" si="1"/>
        <v>10000</v>
      </c>
      <c r="G54" t="s">
        <v>68</v>
      </c>
      <c r="H54" t="s">
        <v>101</v>
      </c>
    </row>
    <row r="55" spans="1:10">
      <c r="A55" t="s">
        <v>25</v>
      </c>
      <c r="B55" s="1">
        <v>151185000</v>
      </c>
      <c r="C55" s="1">
        <v>151195000</v>
      </c>
      <c r="D55" t="s">
        <v>12</v>
      </c>
      <c r="E55" t="s">
        <v>100</v>
      </c>
      <c r="F55" s="1">
        <f t="shared" si="1"/>
        <v>10000</v>
      </c>
      <c r="G55" t="s">
        <v>68</v>
      </c>
      <c r="H55" t="s">
        <v>102</v>
      </c>
    </row>
    <row r="56" spans="1:10">
      <c r="A56" t="s">
        <v>25</v>
      </c>
      <c r="B56" s="1">
        <v>151213000</v>
      </c>
      <c r="C56" s="1">
        <v>151223000</v>
      </c>
      <c r="D56" t="s">
        <v>7</v>
      </c>
      <c r="E56" t="s">
        <v>103</v>
      </c>
      <c r="F56" s="1">
        <f t="shared" si="1"/>
        <v>10000</v>
      </c>
      <c r="G56" t="s">
        <v>68</v>
      </c>
    </row>
    <row r="57" spans="1:10">
      <c r="A57" t="s">
        <v>31</v>
      </c>
      <c r="B57" s="1">
        <v>64859000</v>
      </c>
      <c r="C57" s="1">
        <v>64869000</v>
      </c>
      <c r="D57" t="s">
        <v>12</v>
      </c>
      <c r="E57" t="s">
        <v>104</v>
      </c>
      <c r="F57" s="1">
        <f t="shared" si="1"/>
        <v>10000</v>
      </c>
      <c r="G57" t="s">
        <v>68</v>
      </c>
    </row>
    <row r="58" spans="1:10">
      <c r="A58" t="s">
        <v>31</v>
      </c>
      <c r="B58" s="1">
        <v>64803000</v>
      </c>
      <c r="C58" s="1">
        <v>64813000</v>
      </c>
      <c r="D58" t="s">
        <v>12</v>
      </c>
      <c r="E58" t="s">
        <v>105</v>
      </c>
      <c r="F58" s="1">
        <f t="shared" si="1"/>
        <v>10000</v>
      </c>
      <c r="G58" t="s">
        <v>68</v>
      </c>
      <c r="H58" t="s">
        <v>106</v>
      </c>
    </row>
    <row r="59" spans="1:10">
      <c r="A59" t="s">
        <v>31</v>
      </c>
      <c r="B59" s="1">
        <v>116404000</v>
      </c>
      <c r="C59" s="1">
        <v>116414000</v>
      </c>
      <c r="D59" t="s">
        <v>12</v>
      </c>
      <c r="E59" t="s">
        <v>107</v>
      </c>
      <c r="F59" s="1">
        <f t="shared" si="1"/>
        <v>10000</v>
      </c>
      <c r="G59" t="s">
        <v>68</v>
      </c>
    </row>
    <row r="60" spans="1:10">
      <c r="A60" t="s">
        <v>31</v>
      </c>
      <c r="B60" s="1">
        <v>116438000</v>
      </c>
      <c r="C60" s="1">
        <v>116448000</v>
      </c>
      <c r="D60" t="s">
        <v>12</v>
      </c>
      <c r="E60" t="s">
        <v>108</v>
      </c>
      <c r="F60" s="1">
        <f t="shared" si="1"/>
        <v>10000</v>
      </c>
      <c r="G60" t="s">
        <v>68</v>
      </c>
    </row>
    <row r="61" spans="1:10">
      <c r="A61" t="s">
        <v>109</v>
      </c>
      <c r="B61" s="1">
        <v>83887000</v>
      </c>
      <c r="C61" s="1">
        <v>83897000</v>
      </c>
      <c r="D61" t="s">
        <v>12</v>
      </c>
      <c r="E61" t="s">
        <v>110</v>
      </c>
      <c r="F61" s="1">
        <f t="shared" si="1"/>
        <v>10000</v>
      </c>
      <c r="G61" t="s">
        <v>68</v>
      </c>
    </row>
    <row r="62" spans="1:10">
      <c r="A62" t="s">
        <v>109</v>
      </c>
      <c r="B62" s="1">
        <v>83914000</v>
      </c>
      <c r="C62" s="1">
        <v>83924000</v>
      </c>
      <c r="D62" t="s">
        <v>12</v>
      </c>
      <c r="E62" t="s">
        <v>111</v>
      </c>
      <c r="F62" s="1">
        <f t="shared" si="1"/>
        <v>10000</v>
      </c>
      <c r="G62" t="s">
        <v>68</v>
      </c>
    </row>
    <row r="63" spans="1:10">
      <c r="A63" t="s">
        <v>109</v>
      </c>
      <c r="B63" s="1">
        <v>125407000</v>
      </c>
      <c r="C63" s="1">
        <v>125417000</v>
      </c>
      <c r="D63" t="s">
        <v>12</v>
      </c>
      <c r="E63" t="s">
        <v>163</v>
      </c>
      <c r="F63" s="1">
        <f t="shared" si="1"/>
        <v>10000</v>
      </c>
      <c r="G63" t="s">
        <v>68</v>
      </c>
    </row>
    <row r="64" spans="1:10">
      <c r="A64" t="s">
        <v>109</v>
      </c>
      <c r="B64" s="1">
        <v>125417000</v>
      </c>
      <c r="C64" s="1">
        <v>125427000</v>
      </c>
      <c r="D64" t="s">
        <v>12</v>
      </c>
      <c r="E64" t="s">
        <v>164</v>
      </c>
      <c r="F64" s="1">
        <f t="shared" si="1"/>
        <v>10000</v>
      </c>
      <c r="G64" t="s">
        <v>68</v>
      </c>
    </row>
    <row r="65" spans="1:10">
      <c r="A65" t="s">
        <v>109</v>
      </c>
      <c r="B65" s="1">
        <v>125427000</v>
      </c>
      <c r="C65" s="1">
        <v>125437000</v>
      </c>
      <c r="D65" t="s">
        <v>12</v>
      </c>
      <c r="E65" t="s">
        <v>165</v>
      </c>
      <c r="F65" s="1">
        <f t="shared" si="1"/>
        <v>10000</v>
      </c>
      <c r="G65" t="s">
        <v>68</v>
      </c>
      <c r="H65" t="s">
        <v>166</v>
      </c>
    </row>
    <row r="66" spans="1:10">
      <c r="A66" t="s">
        <v>109</v>
      </c>
      <c r="B66" s="1">
        <v>125485000</v>
      </c>
      <c r="C66" s="1">
        <v>125495000</v>
      </c>
      <c r="D66" t="s">
        <v>7</v>
      </c>
      <c r="E66" t="s">
        <v>115</v>
      </c>
      <c r="F66" s="1">
        <f t="shared" si="1"/>
        <v>10000</v>
      </c>
      <c r="G66" t="s">
        <v>68</v>
      </c>
    </row>
    <row r="67" spans="1:10">
      <c r="A67" t="s">
        <v>34</v>
      </c>
      <c r="B67" s="1">
        <v>83877000</v>
      </c>
      <c r="C67" s="1">
        <v>83887000</v>
      </c>
      <c r="D67" t="s">
        <v>12</v>
      </c>
      <c r="E67" t="s">
        <v>116</v>
      </c>
      <c r="F67" s="1">
        <f t="shared" si="1"/>
        <v>10000</v>
      </c>
      <c r="G67" t="s">
        <v>68</v>
      </c>
      <c r="H67" t="s">
        <v>118</v>
      </c>
    </row>
    <row r="68" spans="1:10">
      <c r="A68" t="s">
        <v>34</v>
      </c>
      <c r="B68" s="1">
        <v>84142000</v>
      </c>
      <c r="C68" s="1">
        <v>84152000</v>
      </c>
      <c r="D68" t="s">
        <v>7</v>
      </c>
      <c r="E68" t="s">
        <v>117</v>
      </c>
      <c r="F68" s="1">
        <f t="shared" ref="F68:F93" si="2">C68-B68</f>
        <v>10000</v>
      </c>
      <c r="G68" t="s">
        <v>68</v>
      </c>
    </row>
    <row r="69" spans="1:10">
      <c r="A69" t="s">
        <v>43</v>
      </c>
      <c r="B69" s="1">
        <v>114497289</v>
      </c>
      <c r="C69" s="1">
        <v>114506136</v>
      </c>
      <c r="D69" t="s">
        <v>7</v>
      </c>
      <c r="E69" t="s">
        <v>119</v>
      </c>
      <c r="F69" s="1">
        <f t="shared" si="2"/>
        <v>8847</v>
      </c>
      <c r="G69" t="s">
        <v>68</v>
      </c>
    </row>
    <row r="70" spans="1:10">
      <c r="A70" t="s">
        <v>43</v>
      </c>
      <c r="B70" s="1">
        <v>114556300</v>
      </c>
      <c r="C70" s="1">
        <v>114564300</v>
      </c>
      <c r="D70" t="s">
        <v>7</v>
      </c>
      <c r="E70" t="s">
        <v>120</v>
      </c>
      <c r="F70" s="1">
        <f t="shared" si="2"/>
        <v>8000</v>
      </c>
      <c r="G70" t="s">
        <v>68</v>
      </c>
    </row>
    <row r="71" spans="1:10">
      <c r="A71" t="s">
        <v>48</v>
      </c>
      <c r="B71" s="1">
        <v>69700000</v>
      </c>
      <c r="C71" s="1">
        <v>69712000</v>
      </c>
      <c r="D71" t="s">
        <v>12</v>
      </c>
      <c r="E71" t="s">
        <v>121</v>
      </c>
      <c r="F71" s="1">
        <f t="shared" si="2"/>
        <v>12000</v>
      </c>
      <c r="G71" t="s">
        <v>68</v>
      </c>
      <c r="H71" t="s">
        <v>162</v>
      </c>
    </row>
    <row r="72" spans="1:10">
      <c r="A72" t="s">
        <v>48</v>
      </c>
      <c r="B72" s="1">
        <v>69673121</v>
      </c>
      <c r="C72" s="1">
        <v>69682084</v>
      </c>
      <c r="D72" t="s">
        <v>7</v>
      </c>
      <c r="E72" t="s">
        <v>122</v>
      </c>
      <c r="F72" s="1">
        <f t="shared" si="2"/>
        <v>8963</v>
      </c>
      <c r="G72" t="s">
        <v>68</v>
      </c>
    </row>
    <row r="73" spans="1:10">
      <c r="A73" t="s">
        <v>51</v>
      </c>
      <c r="B73" s="1">
        <v>12780000</v>
      </c>
      <c r="C73" s="1">
        <v>12790000</v>
      </c>
      <c r="D73" t="s">
        <v>7</v>
      </c>
      <c r="E73" t="s">
        <v>124</v>
      </c>
      <c r="F73" s="1">
        <f t="shared" si="2"/>
        <v>10000</v>
      </c>
      <c r="G73" t="s">
        <v>68</v>
      </c>
    </row>
    <row r="74" spans="1:10">
      <c r="A74" t="s">
        <v>51</v>
      </c>
      <c r="B74" s="1">
        <v>12936093</v>
      </c>
      <c r="C74" s="1">
        <v>12941914</v>
      </c>
      <c r="D74" t="s">
        <v>7</v>
      </c>
      <c r="E74" t="s">
        <v>125</v>
      </c>
      <c r="F74" s="1">
        <f t="shared" si="2"/>
        <v>5821</v>
      </c>
      <c r="G74" t="s">
        <v>68</v>
      </c>
      <c r="I74" s="1"/>
      <c r="J74" s="1"/>
    </row>
    <row r="75" spans="1:10">
      <c r="A75" t="s">
        <v>126</v>
      </c>
      <c r="B75" s="1">
        <v>97430000</v>
      </c>
      <c r="C75" s="1">
        <v>97440000</v>
      </c>
      <c r="D75" t="s">
        <v>12</v>
      </c>
      <c r="E75" t="s">
        <v>127</v>
      </c>
      <c r="F75" s="1">
        <f t="shared" si="2"/>
        <v>10000</v>
      </c>
      <c r="G75" t="s">
        <v>68</v>
      </c>
      <c r="H75" t="s">
        <v>129</v>
      </c>
    </row>
    <row r="76" spans="1:10">
      <c r="A76" t="s">
        <v>126</v>
      </c>
      <c r="B76" s="1">
        <v>97482701</v>
      </c>
      <c r="C76" s="1">
        <v>97492700</v>
      </c>
      <c r="D76" t="s">
        <v>12</v>
      </c>
      <c r="E76" t="s">
        <v>128</v>
      </c>
      <c r="F76" s="1">
        <f t="shared" si="2"/>
        <v>9999</v>
      </c>
      <c r="G76" t="s">
        <v>68</v>
      </c>
    </row>
    <row r="77" spans="1:10">
      <c r="A77" t="s">
        <v>130</v>
      </c>
      <c r="B77" s="1">
        <v>29676000</v>
      </c>
      <c r="C77" s="1">
        <v>29686000</v>
      </c>
      <c r="D77" t="s">
        <v>12</v>
      </c>
      <c r="E77" t="s">
        <v>131</v>
      </c>
      <c r="F77" s="1">
        <f t="shared" si="2"/>
        <v>10000</v>
      </c>
      <c r="G77" t="s">
        <v>68</v>
      </c>
    </row>
    <row r="78" spans="1:10">
      <c r="A78" t="s">
        <v>130</v>
      </c>
      <c r="B78" s="1">
        <v>30065340</v>
      </c>
      <c r="C78" s="1">
        <v>30075340</v>
      </c>
      <c r="D78" t="s">
        <v>12</v>
      </c>
      <c r="E78" t="s">
        <v>132</v>
      </c>
      <c r="F78" s="1">
        <f t="shared" si="2"/>
        <v>10000</v>
      </c>
      <c r="G78" t="s">
        <v>68</v>
      </c>
      <c r="H78" t="s">
        <v>123</v>
      </c>
      <c r="I78" s="1"/>
      <c r="J78" s="1"/>
    </row>
    <row r="79" spans="1:10">
      <c r="A79" t="s">
        <v>56</v>
      </c>
      <c r="B79" s="1">
        <v>31803000</v>
      </c>
      <c r="C79" s="1">
        <v>31813000</v>
      </c>
      <c r="D79" t="s">
        <v>7</v>
      </c>
      <c r="E79" t="s">
        <v>133</v>
      </c>
      <c r="F79" s="1">
        <f t="shared" si="2"/>
        <v>10000</v>
      </c>
      <c r="G79" t="s">
        <v>68</v>
      </c>
    </row>
    <row r="80" spans="1:10">
      <c r="A80" t="s">
        <v>56</v>
      </c>
      <c r="B80" s="1">
        <v>32036412</v>
      </c>
      <c r="C80" s="1">
        <v>32046412</v>
      </c>
      <c r="D80" t="s">
        <v>12</v>
      </c>
      <c r="E80" t="s">
        <v>134</v>
      </c>
      <c r="F80" s="1">
        <f t="shared" si="2"/>
        <v>10000</v>
      </c>
      <c r="G80" t="s">
        <v>68</v>
      </c>
    </row>
    <row r="81" spans="1:11">
      <c r="A81" t="s">
        <v>56</v>
      </c>
      <c r="B81" s="1">
        <v>37076000</v>
      </c>
      <c r="C81" s="1">
        <v>37083310</v>
      </c>
      <c r="D81" t="s">
        <v>12</v>
      </c>
      <c r="E81" t="s">
        <v>137</v>
      </c>
      <c r="F81" s="1">
        <f t="shared" si="2"/>
        <v>7310</v>
      </c>
      <c r="G81" t="s">
        <v>68</v>
      </c>
      <c r="H81" t="s">
        <v>138</v>
      </c>
    </row>
    <row r="82" spans="1:11">
      <c r="A82" t="s">
        <v>56</v>
      </c>
      <c r="B82" s="1">
        <v>37046000</v>
      </c>
      <c r="C82" s="1">
        <v>37056000</v>
      </c>
      <c r="D82" t="s">
        <v>12</v>
      </c>
      <c r="E82" t="s">
        <v>139</v>
      </c>
      <c r="F82" s="1">
        <f t="shared" si="2"/>
        <v>10000</v>
      </c>
      <c r="G82" t="s">
        <v>68</v>
      </c>
    </row>
    <row r="83" spans="1:11">
      <c r="A83" t="s">
        <v>56</v>
      </c>
      <c r="B83" s="1">
        <v>37002525</v>
      </c>
      <c r="C83" s="1">
        <v>37010632</v>
      </c>
      <c r="D83" t="s">
        <v>12</v>
      </c>
      <c r="E83" t="s">
        <v>140</v>
      </c>
      <c r="F83" s="1">
        <f t="shared" si="2"/>
        <v>8107</v>
      </c>
      <c r="G83" t="s">
        <v>68</v>
      </c>
    </row>
    <row r="84" spans="1:11">
      <c r="A84" t="s">
        <v>56</v>
      </c>
      <c r="B84" s="1">
        <v>47507000</v>
      </c>
      <c r="C84" s="1">
        <v>47517000</v>
      </c>
      <c r="D84" t="s">
        <v>7</v>
      </c>
      <c r="E84" t="s">
        <v>142</v>
      </c>
      <c r="F84" s="1">
        <f t="shared" si="2"/>
        <v>10000</v>
      </c>
      <c r="G84" t="s">
        <v>68</v>
      </c>
      <c r="H84" t="s">
        <v>143</v>
      </c>
    </row>
    <row r="85" spans="1:11">
      <c r="A85" t="s">
        <v>56</v>
      </c>
      <c r="B85" s="1">
        <v>47593470</v>
      </c>
      <c r="C85" s="1">
        <v>47599689</v>
      </c>
      <c r="D85" t="s">
        <v>12</v>
      </c>
      <c r="E85" t="s">
        <v>141</v>
      </c>
      <c r="F85" s="1">
        <f t="shared" si="2"/>
        <v>6219</v>
      </c>
      <c r="G85" t="s">
        <v>68</v>
      </c>
      <c r="I85" s="1"/>
      <c r="J85" s="1"/>
      <c r="K85" t="s">
        <v>161</v>
      </c>
    </row>
    <row r="86" spans="1:11">
      <c r="A86" t="s">
        <v>56</v>
      </c>
      <c r="B86" s="1">
        <v>47601492</v>
      </c>
      <c r="C86" s="1">
        <v>47611492</v>
      </c>
      <c r="D86" t="s">
        <v>7</v>
      </c>
      <c r="E86" t="s">
        <v>144</v>
      </c>
      <c r="F86" s="1">
        <f t="shared" si="2"/>
        <v>10000</v>
      </c>
      <c r="G86" t="s">
        <v>68</v>
      </c>
    </row>
    <row r="87" spans="1:11">
      <c r="A87" t="s">
        <v>145</v>
      </c>
      <c r="B87" s="1">
        <v>61620000</v>
      </c>
      <c r="C87" s="1">
        <v>61630000</v>
      </c>
      <c r="D87" t="s">
        <v>12</v>
      </c>
      <c r="E87" t="s">
        <v>146</v>
      </c>
      <c r="F87" s="1">
        <f t="shared" si="2"/>
        <v>10000</v>
      </c>
      <c r="G87" t="s">
        <v>68</v>
      </c>
    </row>
    <row r="88" spans="1:11">
      <c r="A88" t="s">
        <v>145</v>
      </c>
      <c r="B88" s="1">
        <v>61555274</v>
      </c>
      <c r="C88" s="1">
        <v>61565274</v>
      </c>
      <c r="D88" t="s">
        <v>12</v>
      </c>
      <c r="E88" t="s">
        <v>147</v>
      </c>
      <c r="F88" s="1">
        <f t="shared" si="2"/>
        <v>10000</v>
      </c>
      <c r="G88" t="s">
        <v>68</v>
      </c>
    </row>
    <row r="89" spans="1:11">
      <c r="A89" t="s">
        <v>65</v>
      </c>
      <c r="B89" s="1">
        <v>5802500</v>
      </c>
      <c r="C89" s="1">
        <v>5812500</v>
      </c>
      <c r="D89" t="s">
        <v>12</v>
      </c>
      <c r="E89" t="s">
        <v>148</v>
      </c>
      <c r="F89" s="1">
        <f t="shared" si="2"/>
        <v>10000</v>
      </c>
      <c r="G89" t="s">
        <v>68</v>
      </c>
      <c r="H89" t="s">
        <v>149</v>
      </c>
    </row>
    <row r="90" spans="1:11">
      <c r="A90" t="s">
        <v>65</v>
      </c>
      <c r="B90" s="1">
        <v>5835478</v>
      </c>
      <c r="C90" s="1">
        <v>5845478</v>
      </c>
      <c r="D90" t="s">
        <v>7</v>
      </c>
      <c r="E90" t="s">
        <v>150</v>
      </c>
      <c r="F90" s="1">
        <f t="shared" si="2"/>
        <v>10000</v>
      </c>
      <c r="G90" t="s">
        <v>68</v>
      </c>
      <c r="H90" t="s">
        <v>151</v>
      </c>
    </row>
    <row r="91" spans="1:11">
      <c r="A91" t="s">
        <v>65</v>
      </c>
      <c r="B91" s="1">
        <v>23086000</v>
      </c>
      <c r="C91" s="1">
        <v>23096000</v>
      </c>
      <c r="D91" t="s">
        <v>12</v>
      </c>
      <c r="E91" t="s">
        <v>154</v>
      </c>
      <c r="F91" s="1">
        <f t="shared" si="2"/>
        <v>10000</v>
      </c>
      <c r="G91" t="s">
        <v>68</v>
      </c>
    </row>
    <row r="92" spans="1:11">
      <c r="A92" t="s">
        <v>65</v>
      </c>
      <c r="B92" s="1">
        <v>23129000</v>
      </c>
      <c r="C92" s="1">
        <v>23139000</v>
      </c>
      <c r="D92" t="s">
        <v>12</v>
      </c>
      <c r="E92" t="s">
        <v>153</v>
      </c>
      <c r="F92" s="1">
        <f t="shared" si="2"/>
        <v>10000</v>
      </c>
      <c r="G92" t="s">
        <v>68</v>
      </c>
    </row>
    <row r="93" spans="1:11">
      <c r="A93" t="s">
        <v>65</v>
      </c>
      <c r="B93" s="1">
        <v>23141226</v>
      </c>
      <c r="C93" s="1">
        <v>23151226</v>
      </c>
      <c r="D93" t="s">
        <v>12</v>
      </c>
      <c r="E93" t="s">
        <v>152</v>
      </c>
      <c r="F93" s="1">
        <f t="shared" si="2"/>
        <v>10000</v>
      </c>
      <c r="G93" t="s">
        <v>68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Lee</dc:creator>
  <cp:lastModifiedBy>Joo Lee</cp:lastModifiedBy>
  <dcterms:created xsi:type="dcterms:W3CDTF">2023-03-30T00:12:37Z</dcterms:created>
  <dcterms:modified xsi:type="dcterms:W3CDTF">2026-07-16T16:40:27Z</dcterms:modified>
</cp:coreProperties>
</file>